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men\Documents\Obsidian Vault\Хранилище\Основные данные\Университет\9 Семестр\Моделирование ракетных систем\Лабы\"/>
    </mc:Choice>
  </mc:AlternateContent>
  <xr:revisionPtr revIDLastSave="0" documentId="13_ncr:1_{A7FF20E3-9A2D-4198-AF3E-B2E37DAF94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C23" i="1"/>
  <c r="C22" i="1"/>
  <c r="C21" i="1"/>
  <c r="C20" i="1"/>
  <c r="C18" i="1"/>
  <c r="C19" i="1" s="1"/>
  <c r="C14" i="1"/>
  <c r="C7" i="1"/>
</calcChain>
</file>

<file path=xl/sharedStrings.xml><?xml version="1.0" encoding="utf-8"?>
<sst xmlns="http://schemas.openxmlformats.org/spreadsheetml/2006/main" count="97" uniqueCount="68">
  <si>
    <t>value</t>
  </si>
  <si>
    <t>desription</t>
  </si>
  <si>
    <t>type</t>
  </si>
  <si>
    <t>SI</t>
  </si>
  <si>
    <t>Масса летательного аппарата</t>
  </si>
  <si>
    <t>кг</t>
  </si>
  <si>
    <t>Калибр летательного аппарата</t>
  </si>
  <si>
    <t>м</t>
  </si>
  <si>
    <t>Время горения топлива</t>
  </si>
  <si>
    <t>с</t>
  </si>
  <si>
    <t>m_0</t>
  </si>
  <si>
    <t>d</t>
  </si>
  <si>
    <t>t_a</t>
  </si>
  <si>
    <t>name</t>
  </si>
  <si>
    <t>int</t>
  </si>
  <si>
    <t>float</t>
  </si>
  <si>
    <t>L_n</t>
  </si>
  <si>
    <t>Длина направляющих</t>
  </si>
  <si>
    <t>tetha_n</t>
  </si>
  <si>
    <t>Угол подъёма направляющих</t>
  </si>
  <si>
    <t>рад</t>
  </si>
  <si>
    <t>u_e</t>
  </si>
  <si>
    <t>Эффективная скорость истечения</t>
  </si>
  <si>
    <t>м/с</t>
  </si>
  <si>
    <t>f_tr</t>
  </si>
  <si>
    <t>Коэффициент трения скольжения</t>
  </si>
  <si>
    <t>б-р</t>
  </si>
  <si>
    <t>ro_0</t>
  </si>
  <si>
    <t>Плотность воздуха на уровне моря</t>
  </si>
  <si>
    <t>кг/м^3</t>
  </si>
  <si>
    <t>p_0</t>
  </si>
  <si>
    <t>Давление на уровне моря</t>
  </si>
  <si>
    <t>Па</t>
  </si>
  <si>
    <t>gamma</t>
  </si>
  <si>
    <t>Коэффициент адиабаты для воздуха</t>
  </si>
  <si>
    <t>miu</t>
  </si>
  <si>
    <t>Молярная масса воздуха</t>
  </si>
  <si>
    <t>кг/моль</t>
  </si>
  <si>
    <t>R_t</t>
  </si>
  <si>
    <t>Универсальная газовая постоянная</t>
  </si>
  <si>
    <t>Дж/(моль*К)</t>
  </si>
  <si>
    <t>T</t>
  </si>
  <si>
    <t>Температура при нормальных условиях</t>
  </si>
  <si>
    <t>К</t>
  </si>
  <si>
    <t>h</t>
  </si>
  <si>
    <t>Шаг интегрирования</t>
  </si>
  <si>
    <t>Q</t>
  </si>
  <si>
    <t>Массовый расход топлива</t>
  </si>
  <si>
    <t>m_t</t>
  </si>
  <si>
    <t>Масса топлива</t>
  </si>
  <si>
    <t>кг/с</t>
  </si>
  <si>
    <t>R</t>
  </si>
  <si>
    <t>Сила тяги двигателя</t>
  </si>
  <si>
    <t>Н</t>
  </si>
  <si>
    <t>t_d</t>
  </si>
  <si>
    <t>Время схода с направляющих</t>
  </si>
  <si>
    <t>g</t>
  </si>
  <si>
    <t>Ускорение свободного падения</t>
  </si>
  <si>
    <t>м/с^2</t>
  </si>
  <si>
    <t>V_d</t>
  </si>
  <si>
    <t>Скорость схода с направляющих</t>
  </si>
  <si>
    <t>S</t>
  </si>
  <si>
    <t>Площадь миделя</t>
  </si>
  <si>
    <t>м^2</t>
  </si>
  <si>
    <t>x_0</t>
  </si>
  <si>
    <t>y_0</t>
  </si>
  <si>
    <t>Дальность направляющих</t>
  </si>
  <si>
    <t>Высота направляющих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</si>
</sst>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IDFont+F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14" sqref="A14"/>
    </sheetView>
  </sheetViews>
  <sheetFormatPr defaultRowHeight="15"/>
  <cols>
    <col min="2" max="2" width="70.28515625" customWidth="1"/>
    <col min="3" max="3" width="10.85546875" customWidth="1"/>
    <col min="4" max="4" width="18.140625" customWidth="1"/>
  </cols>
  <sheetData>
    <row r="1" spans="1:5">
      <c r="A1" s="1" t="s">
        <v>13</v>
      </c>
      <c r="B1" s="1" t="s">
        <v>1</v>
      </c>
      <c r="C1" s="1" t="s">
        <v>0</v>
      </c>
      <c r="D1" s="1" t="s">
        <v>3</v>
      </c>
      <c r="E1" s="1" t="s">
        <v>2</v>
      </c>
    </row>
    <row r="2" spans="1:5">
      <c r="A2" t="s">
        <v>10</v>
      </c>
      <c r="B2" t="s">
        <v>4</v>
      </c>
      <c r="C2" s="4">
        <v>270</v>
      </c>
      <c r="D2" t="s">
        <v>5</v>
      </c>
      <c r="E2" t="s">
        <v>14</v>
      </c>
    </row>
    <row r="3" spans="1:5">
      <c r="A3" t="s">
        <v>48</v>
      </c>
      <c r="B3" t="s">
        <v>49</v>
      </c>
      <c r="C3" s="4">
        <v>40</v>
      </c>
      <c r="D3" t="s">
        <v>5</v>
      </c>
      <c r="E3" t="s">
        <v>14</v>
      </c>
    </row>
    <row r="4" spans="1:5">
      <c r="A4" t="s">
        <v>11</v>
      </c>
      <c r="B4" t="s">
        <v>6</v>
      </c>
      <c r="C4" s="4">
        <v>0.22</v>
      </c>
      <c r="D4" t="s">
        <v>7</v>
      </c>
      <c r="E4" t="s">
        <v>15</v>
      </c>
    </row>
    <row r="5" spans="1:5">
      <c r="A5" t="s">
        <v>12</v>
      </c>
      <c r="B5" t="s">
        <v>8</v>
      </c>
      <c r="C5" s="4">
        <v>4</v>
      </c>
      <c r="D5" t="s">
        <v>9</v>
      </c>
      <c r="E5" t="s">
        <v>14</v>
      </c>
    </row>
    <row r="6" spans="1:5">
      <c r="A6" t="s">
        <v>16</v>
      </c>
      <c r="B6" t="s">
        <v>17</v>
      </c>
      <c r="C6" s="4">
        <v>5</v>
      </c>
      <c r="D6" t="s">
        <v>7</v>
      </c>
      <c r="E6" t="s">
        <v>14</v>
      </c>
    </row>
    <row r="7" spans="1:5">
      <c r="A7" t="s">
        <v>18</v>
      </c>
      <c r="B7" t="s">
        <v>19</v>
      </c>
      <c r="C7" s="5">
        <f>ROUND(45*PI()/180, 3)</f>
        <v>0.78500000000000003</v>
      </c>
      <c r="D7" t="s">
        <v>20</v>
      </c>
      <c r="E7" t="s">
        <v>15</v>
      </c>
    </row>
    <row r="8" spans="1:5">
      <c r="A8" t="s">
        <v>21</v>
      </c>
      <c r="B8" t="s">
        <v>22</v>
      </c>
      <c r="C8" s="4">
        <v>2500</v>
      </c>
      <c r="D8" t="s">
        <v>23</v>
      </c>
      <c r="E8" t="s">
        <v>14</v>
      </c>
    </row>
    <row r="9" spans="1:5">
      <c r="A9" t="s">
        <v>24</v>
      </c>
      <c r="B9" t="s">
        <v>25</v>
      </c>
      <c r="C9" s="4">
        <v>0.15</v>
      </c>
      <c r="D9" t="s">
        <v>26</v>
      </c>
      <c r="E9" t="s">
        <v>15</v>
      </c>
    </row>
    <row r="10" spans="1:5">
      <c r="A10" t="s">
        <v>27</v>
      </c>
      <c r="B10" t="s">
        <v>28</v>
      </c>
      <c r="C10" s="4">
        <v>1.23</v>
      </c>
      <c r="D10" t="s">
        <v>29</v>
      </c>
      <c r="E10" t="s">
        <v>15</v>
      </c>
    </row>
    <row r="11" spans="1:5">
      <c r="A11" t="s">
        <v>30</v>
      </c>
      <c r="B11" t="s">
        <v>31</v>
      </c>
      <c r="C11" s="4">
        <v>101300</v>
      </c>
      <c r="D11" t="s">
        <v>32</v>
      </c>
      <c r="E11" t="s">
        <v>14</v>
      </c>
    </row>
    <row r="12" spans="1:5">
      <c r="A12" t="s">
        <v>33</v>
      </c>
      <c r="B12" s="2" t="s">
        <v>34</v>
      </c>
      <c r="C12" s="4">
        <v>1.4</v>
      </c>
      <c r="D12" t="s">
        <v>26</v>
      </c>
      <c r="E12" t="s">
        <v>15</v>
      </c>
    </row>
    <row r="13" spans="1:5">
      <c r="A13" t="s">
        <v>56</v>
      </c>
      <c r="B13" s="2" t="s">
        <v>57</v>
      </c>
      <c r="C13" s="4">
        <v>9.8800000000000008</v>
      </c>
      <c r="D13" t="s">
        <v>58</v>
      </c>
      <c r="E13" t="s">
        <v>15</v>
      </c>
    </row>
    <row r="14" spans="1:5">
      <c r="A14" t="s">
        <v>35</v>
      </c>
      <c r="B14" t="s">
        <v>36</v>
      </c>
      <c r="C14" s="5">
        <f>29*10^(-3)</f>
        <v>2.9000000000000001E-2</v>
      </c>
      <c r="D14" t="s">
        <v>37</v>
      </c>
      <c r="E14" t="s">
        <v>15</v>
      </c>
    </row>
    <row r="15" spans="1:5">
      <c r="A15" t="s">
        <v>38</v>
      </c>
      <c r="B15" s="2" t="s">
        <v>39</v>
      </c>
      <c r="C15" s="4">
        <v>8.31</v>
      </c>
      <c r="D15" t="s">
        <v>40</v>
      </c>
      <c r="E15" t="s">
        <v>15</v>
      </c>
    </row>
    <row r="16" spans="1:5">
      <c r="A16" t="s">
        <v>41</v>
      </c>
      <c r="B16" s="3" t="s">
        <v>42</v>
      </c>
      <c r="C16" s="4">
        <v>298</v>
      </c>
      <c r="D16" t="s">
        <v>43</v>
      </c>
      <c r="E16" t="s">
        <v>14</v>
      </c>
    </row>
    <row r="17" spans="1:5">
      <c r="A17" t="s">
        <v>44</v>
      </c>
      <c r="B17" t="s">
        <v>45</v>
      </c>
      <c r="C17" s="4">
        <v>0.01</v>
      </c>
      <c r="D17" t="s">
        <v>9</v>
      </c>
      <c r="E17" t="s">
        <v>15</v>
      </c>
    </row>
    <row r="18" spans="1:5">
      <c r="A18" t="s">
        <v>46</v>
      </c>
      <c r="B18" t="s">
        <v>47</v>
      </c>
      <c r="C18">
        <f>C3/C5</f>
        <v>10</v>
      </c>
      <c r="D18" t="s">
        <v>50</v>
      </c>
      <c r="E18" t="s">
        <v>15</v>
      </c>
    </row>
    <row r="19" spans="1:5">
      <c r="A19" t="s">
        <v>51</v>
      </c>
      <c r="B19" t="s">
        <v>52</v>
      </c>
      <c r="C19">
        <f>C18*C8</f>
        <v>25000</v>
      </c>
      <c r="D19" t="s">
        <v>53</v>
      </c>
      <c r="E19" t="s">
        <v>15</v>
      </c>
    </row>
    <row r="20" spans="1:5">
      <c r="A20" t="s">
        <v>54</v>
      </c>
      <c r="B20" t="s">
        <v>55</v>
      </c>
      <c r="C20">
        <f>ROUND(SQRT((2*C6)/(C19/C2-C13*(SIN(C7)+C9*COS(C7)))),5)</f>
        <v>0.34388999999999997</v>
      </c>
      <c r="D20" t="s">
        <v>9</v>
      </c>
      <c r="E20" t="s">
        <v>15</v>
      </c>
    </row>
    <row r="21" spans="1:5">
      <c r="A21" t="s">
        <v>59</v>
      </c>
      <c r="B21" t="s">
        <v>60</v>
      </c>
      <c r="C21">
        <f>ROUND(C5*((C19/C2-C13*(SIN(C7)+C9*COS(C7)))),5)</f>
        <v>338.24324000000001</v>
      </c>
      <c r="D21" t="s">
        <v>23</v>
      </c>
      <c r="E21" t="s">
        <v>15</v>
      </c>
    </row>
    <row r="22" spans="1:5">
      <c r="A22" t="s">
        <v>61</v>
      </c>
      <c r="B22" t="s">
        <v>62</v>
      </c>
      <c r="C22">
        <f>ROUND(PI()*C4^2/4,3)</f>
        <v>3.7999999999999999E-2</v>
      </c>
      <c r="D22" t="s">
        <v>63</v>
      </c>
      <c r="E22" t="s">
        <v>15</v>
      </c>
    </row>
    <row r="23" spans="1:5">
      <c r="A23" t="s">
        <v>64</v>
      </c>
      <c r="B23" t="s">
        <v>66</v>
      </c>
      <c r="C23">
        <f>ROUND(C6*COS(C7),2)</f>
        <v>3.54</v>
      </c>
      <c r="D23" t="s">
        <v>7</v>
      </c>
      <c r="E23" t="s">
        <v>15</v>
      </c>
    </row>
    <row r="24" spans="1:5">
      <c r="A24" t="s">
        <v>65</v>
      </c>
      <c r="B24" t="s">
        <v>67</v>
      </c>
      <c r="C24">
        <f>ROUND(C6*SIN(C7),2)</f>
        <v>3.53</v>
      </c>
      <c r="D24" t="s">
        <v>7</v>
      </c>
      <c r="E24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semen</dc:creator>
  <cp:lastModifiedBy>semen</cp:lastModifiedBy>
  <dcterms:created xsi:type="dcterms:W3CDTF">2015-06-05T18:19:34Z</dcterms:created>
  <dcterms:modified xsi:type="dcterms:W3CDTF">2025-11-06T13:19:01Z</dcterms:modified>
</cp:coreProperties>
</file>